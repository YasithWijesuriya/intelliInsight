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5F7FA"/>
        <bgColor rgb="00F5F7F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40" customWidth="1" min="4" max="4"/>
    <col width="13" customWidth="1" min="5" max="5"/>
    <col width="11" customWidth="1" min="6" max="6"/>
    <col width="20" customWidth="1" min="7" max="7"/>
    <col width="14" customWidth="1" min="8" max="8"/>
    <col width="35" customWidth="1" min="9" max="9"/>
  </cols>
  <sheetData>
    <row r="1" ht="30" customHeight="1">
      <c r="A1" s="1" t="inlineStr">
        <is>
          <t>Date</t>
        </is>
      </c>
      <c r="B1" s="1" t="inlineStr">
        <is>
          <t>Transaction_ID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Revenue ($)</t>
        </is>
      </c>
      <c r="F1" s="1" t="inlineStr">
        <is>
          <t>COGS ($)</t>
        </is>
      </c>
      <c r="G1" s="1" t="inlineStr">
        <is>
          <t>Marketing_Spend ($)</t>
        </is>
      </c>
      <c r="H1" s="1" t="inlineStr">
        <is>
          <t>Net_Profit ($)</t>
        </is>
      </c>
      <c r="I1" s="1" t="inlineStr">
        <is>
          <t>Notes</t>
        </is>
      </c>
    </row>
    <row r="2">
      <c r="A2" s="2" t="inlineStr">
        <is>
          <t>2026-01-10</t>
        </is>
      </c>
      <c r="B2" s="2" t="inlineStr">
        <is>
          <t>TXN-201</t>
        </is>
      </c>
      <c r="C2" s="2" t="inlineStr">
        <is>
          <t>Cloud Infrastructure</t>
        </is>
      </c>
      <c r="D2" s="2" t="inlineStr">
        <is>
          <t>AWS Reserved Instances - Q1 Batch</t>
        </is>
      </c>
      <c r="E2" s="3" t="n">
        <v>0</v>
      </c>
      <c r="F2" s="3" t="n">
        <v>4200</v>
      </c>
      <c r="G2" s="3" t="n">
        <v>0</v>
      </c>
      <c r="H2" s="2">
        <f>E2-F2-G2</f>
        <v/>
      </c>
      <c r="I2" s="2" t="inlineStr">
        <is>
          <t>Annual reservation, 3-year term</t>
        </is>
      </c>
    </row>
    <row r="3">
      <c r="A3" s="4" t="inlineStr">
        <is>
          <t>2026-01-18</t>
        </is>
      </c>
      <c r="B3" s="4" t="inlineStr">
        <is>
          <t>TXN-202</t>
        </is>
      </c>
      <c r="C3" s="4" t="inlineStr">
        <is>
          <t>SaaS Subscription</t>
        </is>
      </c>
      <c r="D3" s="4" t="inlineStr">
        <is>
          <t>Enterprise Tier — NovaTech Corp</t>
        </is>
      </c>
      <c r="E3" s="5" t="n">
        <v>8200</v>
      </c>
      <c r="F3" s="5" t="n">
        <v>1100</v>
      </c>
      <c r="G3" s="5" t="n">
        <v>600</v>
      </c>
      <c r="H3" s="4">
        <f>E3-F3-G3</f>
        <v/>
      </c>
      <c r="I3" s="4" t="inlineStr">
        <is>
          <t>Annual contract signed</t>
        </is>
      </c>
    </row>
    <row r="4">
      <c r="A4" s="2" t="inlineStr">
        <is>
          <t>2026-01-25</t>
        </is>
      </c>
      <c r="B4" s="2" t="inlineStr">
        <is>
          <t>TXN-203</t>
        </is>
      </c>
      <c r="C4" s="2" t="inlineStr">
        <is>
          <t>SaaS Subscription</t>
        </is>
      </c>
      <c r="D4" s="2" t="inlineStr">
        <is>
          <t>Professional Tier — Meridian Ltd</t>
        </is>
      </c>
      <c r="E4" s="3" t="n">
        <v>4500</v>
      </c>
      <c r="F4" s="3" t="n">
        <v>650</v>
      </c>
      <c r="G4" s="3" t="n">
        <v>350</v>
      </c>
      <c r="H4" s="2">
        <f>E4-F4-G4</f>
        <v/>
      </c>
      <c r="I4" s="2" t="inlineStr">
        <is>
          <t>Monthly billing</t>
        </is>
      </c>
    </row>
    <row r="5">
      <c r="A5" s="4" t="inlineStr">
        <is>
          <t>2026-02-05</t>
        </is>
      </c>
      <c r="B5" s="4" t="inlineStr">
        <is>
          <t>TXN-204</t>
        </is>
      </c>
      <c r="C5" s="4" t="inlineStr">
        <is>
          <t>Hardware</t>
        </is>
      </c>
      <c r="D5" s="4" t="inlineStr">
        <is>
          <t>GPU Workstations x4 — AI Dev Setup</t>
        </is>
      </c>
      <c r="E5" s="5" t="n">
        <v>0</v>
      </c>
      <c r="F5" s="5" t="n">
        <v>12000</v>
      </c>
      <c r="G5" s="5" t="n">
        <v>0</v>
      </c>
      <c r="H5" s="4">
        <f>E5-F5-G5</f>
        <v/>
      </c>
      <c r="I5" s="4" t="inlineStr">
        <is>
          <t>One-time capital expenditure</t>
        </is>
      </c>
    </row>
    <row r="6">
      <c r="A6" s="2" t="inlineStr">
        <is>
          <t>2026-02-14</t>
        </is>
      </c>
      <c r="B6" s="2" t="inlineStr">
        <is>
          <t>TXN-205</t>
        </is>
      </c>
      <c r="C6" s="2" t="inlineStr">
        <is>
          <t>SaaS Subscription</t>
        </is>
      </c>
      <c r="D6" s="2" t="inlineStr">
        <is>
          <t>Enterprise Tier — BrightEdge Inc</t>
        </is>
      </c>
      <c r="E6" s="3" t="n">
        <v>9500</v>
      </c>
      <c r="F6" s="3" t="n">
        <v>1200</v>
      </c>
      <c r="G6" s="3" t="n">
        <v>900</v>
      </c>
      <c r="H6" s="2">
        <f>E6-F6-G6</f>
        <v/>
      </c>
      <c r="I6" s="2" t="inlineStr">
        <is>
          <t>Expansion from Professional</t>
        </is>
      </c>
    </row>
    <row r="7">
      <c r="A7" s="4" t="inlineStr">
        <is>
          <t>2026-02-22</t>
        </is>
      </c>
      <c r="B7" s="4" t="inlineStr">
        <is>
          <t>TXN-206</t>
        </is>
      </c>
      <c r="C7" s="4" t="inlineStr">
        <is>
          <t>R&amp;D</t>
        </is>
      </c>
      <c r="D7" s="4" t="inlineStr">
        <is>
          <t>OpenAI API Credits — Feb usage</t>
        </is>
      </c>
      <c r="E7" s="5" t="n">
        <v>0</v>
      </c>
      <c r="F7" s="5" t="n">
        <v>1800</v>
      </c>
      <c r="G7" s="5" t="n">
        <v>0</v>
      </c>
      <c r="H7" s="4">
        <f>E7-F7-G7</f>
        <v/>
      </c>
      <c r="I7" s="4" t="inlineStr">
        <is>
          <t>LLM inference costs</t>
        </is>
      </c>
    </row>
    <row r="8">
      <c r="A8" s="2" t="inlineStr">
        <is>
          <t>2026-03-03</t>
        </is>
      </c>
      <c r="B8" s="2" t="inlineStr">
        <is>
          <t>TXN-207</t>
        </is>
      </c>
      <c r="C8" s="2" t="inlineStr">
        <is>
          <t>Cloud Infrastructure</t>
        </is>
      </c>
      <c r="D8" s="2" t="inlineStr">
        <is>
          <t>GPU Cluster Rental — Model Training</t>
        </is>
      </c>
      <c r="E8" s="3" t="n">
        <v>0</v>
      </c>
      <c r="F8" s="3" t="n">
        <v>5800</v>
      </c>
      <c r="G8" s="3" t="n">
        <v>0</v>
      </c>
      <c r="H8" s="2">
        <f>E8-F8-G8</f>
        <v/>
      </c>
      <c r="I8" s="2" t="inlineStr">
        <is>
          <t>Needed for RAG pipeline</t>
        </is>
      </c>
    </row>
    <row r="9">
      <c r="A9" s="4" t="inlineStr">
        <is>
          <t>2026-03-12</t>
        </is>
      </c>
      <c r="B9" s="4" t="inlineStr">
        <is>
          <t>TXN-208</t>
        </is>
      </c>
      <c r="C9" s="4" t="inlineStr">
        <is>
          <t>SaaS Subscription</t>
        </is>
      </c>
      <c r="D9" s="4" t="inlineStr">
        <is>
          <t>Enterprise Tier — Apex Systems</t>
        </is>
      </c>
      <c r="E9" s="5" t="n">
        <v>11000</v>
      </c>
      <c r="F9" s="5" t="n">
        <v>1500</v>
      </c>
      <c r="G9" s="5" t="n">
        <v>2100</v>
      </c>
      <c r="H9" s="4">
        <f>E9-F9-G9</f>
        <v/>
      </c>
      <c r="I9" s="4" t="inlineStr">
        <is>
          <t>LinkedIn campaign lead</t>
        </is>
      </c>
    </row>
    <row r="10">
      <c r="A10" s="2" t="inlineStr">
        <is>
          <t>2026-03-20</t>
        </is>
      </c>
      <c r="B10" s="2" t="inlineStr">
        <is>
          <t>TXN-209</t>
        </is>
      </c>
      <c r="C10" s="2" t="inlineStr">
        <is>
          <t>SaaS Subscription</t>
        </is>
      </c>
      <c r="D10" s="2" t="inlineStr">
        <is>
          <t>Startup Tier — 3 new clients</t>
        </is>
      </c>
      <c r="E10" s="3" t="n">
        <v>3600</v>
      </c>
      <c r="F10" s="3" t="n">
        <v>540</v>
      </c>
      <c r="G10" s="3" t="n">
        <v>420</v>
      </c>
      <c r="H10" s="2">
        <f>E10-F10-G10</f>
        <v/>
      </c>
      <c r="I10" s="2" t="inlineStr">
        <is>
          <t>Self-serve signup via website</t>
        </is>
      </c>
    </row>
    <row r="11">
      <c r="A11" s="4" t="inlineStr">
        <is>
          <t>2026-03-28</t>
        </is>
      </c>
      <c r="B11" s="4" t="inlineStr">
        <is>
          <t>TXN-210</t>
        </is>
      </c>
      <c r="C11" s="4" t="inlineStr">
        <is>
          <t>R&amp;D</t>
        </is>
      </c>
      <c r="D11" s="4" t="inlineStr">
        <is>
          <t>Pinecone Vector DB — Mar subscription</t>
        </is>
      </c>
      <c r="E11" s="5" t="n">
        <v>0</v>
      </c>
      <c r="F11" s="5" t="n">
        <v>480</v>
      </c>
      <c r="G11" s="5" t="n">
        <v>0</v>
      </c>
      <c r="H11" s="4">
        <f>E11-F11-G11</f>
        <v/>
      </c>
      <c r="I11" s="4" t="inlineStr">
        <is>
          <t>RAG infrastructure cost</t>
        </is>
      </c>
    </row>
    <row r="12">
      <c r="A12" s="6" t="inlineStr">
        <is>
          <t>TOTALS</t>
        </is>
      </c>
      <c r="B12" s="7" t="n"/>
      <c r="C12" s="7" t="n"/>
      <c r="D12" s="7" t="n"/>
      <c r="E12" s="6">
        <f>SUM(E2:E11)</f>
        <v/>
      </c>
      <c r="F12" s="6">
        <f>SUM(F2:F11)</f>
        <v/>
      </c>
      <c r="G12" s="6">
        <f>SUM(G2:G11)</f>
        <v/>
      </c>
      <c r="H12" s="6">
        <f>SUM(H2:H11)</f>
        <v/>
      </c>
      <c r="I1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0" customWidth="1" min="4" max="4"/>
    <col width="15" customWidth="1" min="5" max="5"/>
    <col width="18" customWidth="1" min="6" max="6"/>
  </cols>
  <sheetData>
    <row r="1">
      <c r="A1" s="8" t="inlineStr">
        <is>
          <t>Month</t>
        </is>
      </c>
      <c r="B1" s="8" t="inlineStr">
        <is>
          <t>Total Revenue ($)</t>
        </is>
      </c>
      <c r="C1" s="8" t="inlineStr">
        <is>
          <t>Total COGS ($)</t>
        </is>
      </c>
      <c r="D1" s="8" t="inlineStr">
        <is>
          <t>Marketing Spend ($)</t>
        </is>
      </c>
      <c r="E1" s="8" t="inlineStr">
        <is>
          <t>Net Profit ($)</t>
        </is>
      </c>
      <c r="F1" s="8" t="inlineStr">
        <is>
          <t>Gross Margin (%)</t>
        </is>
      </c>
    </row>
    <row r="2">
      <c r="A2" s="2" t="inlineStr">
        <is>
          <t>January 2026</t>
        </is>
      </c>
      <c r="B2" s="2">
        <f>SUMPRODUCT((TEXT(Transactions!A2:A11,"YYYY-MM")="2026-01")*Transactions!E2:E11)</f>
        <v/>
      </c>
      <c r="C2" s="2">
        <f>SUMPRODUCT((TEXT(Transactions!A2:A11,"YYYY-MM")="2026-01")*Transactions!F2:F11)</f>
        <v/>
      </c>
      <c r="D2" s="2">
        <f>SUMPRODUCT((TEXT(Transactions!A2:A11,"YYYY-MM")="2026-01")*Transactions!G2:G11)</f>
        <v/>
      </c>
      <c r="E2" s="2">
        <f>B2-C2-D2</f>
        <v/>
      </c>
      <c r="F2" s="2">
        <f>IF(B2&gt;0,(B2-C2)/B2*100,0)</f>
        <v/>
      </c>
    </row>
    <row r="3">
      <c r="A3" s="4" t="inlineStr">
        <is>
          <t>February 2026</t>
        </is>
      </c>
      <c r="B3" s="4">
        <f>SUMPRODUCT((TEXT(Transactions!A2:A11,"YYYY-MM")="2026-02")*Transactions!E2:E11)</f>
        <v/>
      </c>
      <c r="C3" s="4">
        <f>SUMPRODUCT((TEXT(Transactions!A2:A11,"YYYY-MM")="2026-02")*Transactions!F2:F11)</f>
        <v/>
      </c>
      <c r="D3" s="4">
        <f>SUMPRODUCT((TEXT(Transactions!A2:A11,"YYYY-MM")="2026-02")*Transactions!G2:G11)</f>
        <v/>
      </c>
      <c r="E3" s="4">
        <f>B3-C3-D3</f>
        <v/>
      </c>
      <c r="F3" s="4">
        <f>IF(B3&gt;0,(B3-C3)/B3*100,0)</f>
        <v/>
      </c>
    </row>
    <row r="4">
      <c r="A4" s="2" t="inlineStr">
        <is>
          <t>March 2026</t>
        </is>
      </c>
      <c r="B4" s="2">
        <f>SUMPRODUCT((TEXT(Transactions!A2:A11,"YYYY-MM")="2026-03")*Transactions!E2:E11)</f>
        <v/>
      </c>
      <c r="C4" s="2">
        <f>SUMPRODUCT((TEXT(Transactions!A2:A11,"YYYY-MM")="2026-03")*Transactions!F2:F11)</f>
        <v/>
      </c>
      <c r="D4" s="2">
        <f>SUMPRODUCT((TEXT(Transactions!A2:A11,"YYYY-MM")="2026-03")*Transactions!G2:G11)</f>
        <v/>
      </c>
      <c r="E4" s="2">
        <f>B4-C4-D4</f>
        <v/>
      </c>
      <c r="F4" s="2">
        <f>IF(B4&gt;0,(B4-C4)/B4*100,0)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2026-05-13T06:59:48Z</dcterms:created>
  <dcterms:modified xmlns:dcterms="http://purl.org/dc/terms/" xmlns:xsi="http://www.w3.org/2001/XMLSchema-instance" xsi:type="dcterms:W3CDTF">2026-05-13T06:59:48Z</dcterms:modified>
</cp:coreProperties>
</file>